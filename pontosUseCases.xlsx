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1.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C76" authorId="0">
      <text>
        <r>
          <rPr>
            <sz val="8"/>
            <color rgb="FF000000"/>
            <rFont val="Tahoma"/>
            <family val="2"/>
            <charset val="1"/>
          </rPr>
          <t xml:space="preserve">Considerando-se um mês com 4 semanas e cada semana com 40h de trabalho.</t>
        </r>
      </text>
    </comment>
    <comment ref="D11" authorId="0">
      <text>
        <r>
          <rPr>
            <sz val="8"/>
            <color rgb="FF000000"/>
            <rFont val="Tahoma"/>
            <family val="0"/>
            <charset val="1"/>
          </rPr>
          <t xml:space="preserve">A comunicação é feita através de uma interface entre o ator e o sistema onde essa interface não é implementada através de um protocolo de comunicação, mas uma chamada direta a um método da fachada.
</t>
        </r>
      </text>
    </comment>
    <comment ref="D12" authorId="0">
      <text>
        <r>
          <rPr>
            <sz val="8"/>
            <color rgb="FF000000"/>
            <rFont val="Tahoma"/>
            <family val="2"/>
            <charset val="1"/>
          </rPr>
          <t xml:space="preserve">Utilização de algum protocolo de comunicação entre o ator e o sistema
</t>
        </r>
        <r>
          <rPr>
            <sz val="8"/>
            <color rgb="FF000000"/>
            <rFont val="Tahoma"/>
            <family val="0"/>
            <charset val="1"/>
          </rPr>
          <t xml:space="preserve">ou interface em modo texto com um
usuário.</t>
        </r>
      </text>
    </comment>
    <comment ref="D13" authorId="0">
      <text>
        <r>
          <rPr>
            <sz val="8"/>
            <color rgb="FF000000"/>
            <rFont val="Tahoma"/>
            <family val="0"/>
            <charset val="1"/>
          </rPr>
          <t xml:space="preserve">O ator interage com o sistema através de uma interface gráfica, mesmo que a comunicação entre a interface e os demais componentes do sistema seja via algum protocolo de comunicação.
</t>
        </r>
      </text>
    </comment>
    <comment ref="D18" authorId="0">
      <text>
        <r>
          <rPr>
            <sz val="8"/>
            <color rgb="FF000000"/>
            <rFont val="Tahoma"/>
            <family val="0"/>
            <charset val="1"/>
          </rPr>
          <t xml:space="preserve">Deve-se decidir se o critério adotado será com base no número de transações ou na quantidade de casos de análise
</t>
        </r>
      </text>
    </comment>
    <comment ref="E68" authorId="0">
      <text>
        <r>
          <rPr>
            <sz val="8"/>
            <color rgb="FF000000"/>
            <rFont val="Tahoma"/>
            <family val="2"/>
            <charset val="1"/>
          </rPr>
          <t xml:space="preserve">O criador da estimativa, Karner, sugere a utilização de
20 pessoas-hora/PCU. Schneider e Winters sugerem
o refinamento abaixo. Sejam
X = total de ítens de F1 a F6 com pontuação </t>
        </r>
        <r>
          <rPr>
            <i val="true"/>
            <sz val="8"/>
            <color rgb="FF000000"/>
            <rFont val="Tahoma"/>
            <family val="2"/>
            <charset val="1"/>
          </rPr>
          <t xml:space="preserve">abaixo</t>
        </r>
        <r>
          <rPr>
            <sz val="8"/>
            <color rgb="FF000000"/>
            <rFont val="Tahoma"/>
            <family val="2"/>
            <charset val="1"/>
          </rPr>
          <t xml:space="preserve"> de 3
Y = total de ítens de F7 a F8 com pontuação </t>
        </r>
        <r>
          <rPr>
            <i val="true"/>
            <sz val="8"/>
            <color rgb="FF000000"/>
            <rFont val="Tahoma"/>
            <family val="2"/>
            <charset val="1"/>
          </rPr>
          <t xml:space="preserve">acima</t>
        </r>
        <r>
          <rPr>
            <sz val="8"/>
            <color rgb="FF000000"/>
            <rFont val="Tahoma"/>
            <family val="2"/>
            <charset val="1"/>
          </rPr>
          <t xml:space="preserve"> de 3
Se X + Y &lt;= 2, então use 20 como unidade de homens/hora
Se X + Y = 3 ou X + Y = 4, então use 28 como unidade de homens/hora
Se X + Y &gt;= 5, tente modificar o seu projeto de forma a baixar o número, pois o risco de insucesso é relativamente alto
</t>
        </r>
      </text>
    </comment>
    <comment ref="F29" authorId="0">
      <text>
        <r>
          <rPr>
            <sz val="8"/>
            <color rgb="FF000000"/>
            <rFont val="Tahoma"/>
            <family val="0"/>
            <charset val="1"/>
          </rPr>
          <t xml:space="preserve">Pontue cada um dos fatores da tabela ao lado de 0 a 5.
0 significa que o fator é irrelevante para o projeto; 5 significa que o fator é essencial para o projeto.</t>
        </r>
      </text>
    </comment>
    <comment ref="F30" authorId="0">
      <text>
        <r>
          <rPr>
            <sz val="8"/>
            <color rgb="FF000000"/>
            <rFont val="Tahoma"/>
            <family val="0"/>
            <charset val="1"/>
          </rPr>
          <t xml:space="preserve">0-2: 1 a 3 subsistemas
2-4: 3 a 5 susbsistemas
5: mais que 5 subsistemas</t>
        </r>
      </text>
    </comment>
    <comment ref="F31" authorId="0">
      <text>
        <r>
          <rPr>
            <sz val="8"/>
            <color rgb="FF000000"/>
            <rFont val="Tahoma"/>
            <family val="0"/>
            <charset val="1"/>
          </rPr>
          <t xml:space="preserve">1-2: performance agrega valor
3-4: performance é necessário
5: performance é crítico para o sistema
</t>
        </r>
      </text>
    </comment>
    <comment ref="F32" authorId="0">
      <text>
        <r>
          <rPr>
            <sz val="8"/>
            <color rgb="FF000000"/>
            <rFont val="Tahoma"/>
            <family val="0"/>
            <charset val="1"/>
          </rPr>
          <t xml:space="preserve">5   : Sistema on line 24hs sem cair
3-4: Sistema on line horário comercial
1-3: Sistema on line periodicamente ou no horário comercial onde quedas são admissíveis
</t>
        </r>
      </text>
    </comment>
    <comment ref="F35" authorId="0">
      <text>
        <r>
          <rPr>
            <sz val="8"/>
            <color rgb="FF000000"/>
            <rFont val="Tahoma"/>
            <family val="2"/>
            <charset val="1"/>
          </rPr>
          <t xml:space="preserve">1-2: facilidade agrega valor
3-4: facilidade é necessário
5: facilidade é crítico para o sistema
</t>
        </r>
      </text>
    </comment>
    <comment ref="F36" authorId="0">
      <text>
        <r>
          <rPr>
            <sz val="8"/>
            <color rgb="FF000000"/>
            <rFont val="Tahoma"/>
            <family val="2"/>
            <charset val="1"/>
          </rPr>
          <t xml:space="preserve">1-2: uso fácil agrega valor
3-4: uso fácil é necessário
5   : uso fácil é crítico para o sistema</t>
        </r>
      </text>
    </comment>
    <comment ref="F37" authorId="0">
      <text>
        <r>
          <rPr>
            <sz val="8"/>
            <color rgb="FF000000"/>
            <rFont val="Tahoma"/>
            <family val="0"/>
            <charset val="1"/>
          </rPr>
          <t xml:space="preserve">1-3: uso em duas plataformas
4-5: uso em três ou mais plataformas
A variação dentro ods intervalos leva em conta se a portabilidade é só em termos de cliente ou também do servidor
</t>
        </r>
      </text>
    </comment>
    <comment ref="F38" authorId="0">
      <text>
        <r>
          <rPr>
            <sz val="8"/>
            <color rgb="FF000000"/>
            <rFont val="Tahoma"/>
            <family val="0"/>
            <charset val="1"/>
          </rPr>
          <t xml:space="preserve">1-2: facilidade de alteração agrega valor
3-4: facilidade de alteração é necessário
5   : facilidade de alteração é crítico para o sistema
</t>
        </r>
      </text>
    </comment>
    <comment ref="F39" authorId="0">
      <text>
        <r>
          <rPr>
            <sz val="8"/>
            <color rgb="FF000000"/>
            <rFont val="Tahoma"/>
            <family val="0"/>
            <charset val="1"/>
          </rPr>
          <t xml:space="preserve">1-2: até 100 acessos simultâneos
2-4: até 500 acessos simultâneos
5: Mais de 500 acessos simultâneos
</t>
        </r>
      </text>
    </comment>
    <comment ref="F40" authorId="0">
      <text>
        <r>
          <rPr>
            <sz val="8"/>
            <color rgb="FF000000"/>
            <rFont val="Tahoma"/>
            <family val="2"/>
            <charset val="1"/>
          </rPr>
          <t xml:space="preserve">1-2: segurança agrega valor
3-4: segurança é necessário
5   : segurança é crítico para o sistema
</t>
        </r>
        <r>
          <rPr>
            <sz val="8"/>
            <color rgb="FF000000"/>
            <rFont val="Tahoma"/>
            <family val="0"/>
            <charset val="1"/>
          </rPr>
          <t xml:space="preserve"> </t>
        </r>
      </text>
    </comment>
    <comment ref="F42" authorId="0">
      <text>
        <r>
          <rPr>
            <sz val="8"/>
            <color rgb="FF000000"/>
            <rFont val="Tahoma"/>
            <family val="0"/>
            <charset val="1"/>
          </rPr>
          <t xml:space="preserve">1-2: agrega valor
3-4: É necessário
5   : É crítico para o sistema
</t>
        </r>
      </text>
    </comment>
    <comment ref="F50" authorId="0">
      <text>
        <r>
          <rPr>
            <b val="true"/>
            <sz val="8"/>
            <color rgb="FF000000"/>
            <rFont val="Tahoma"/>
            <family val="0"/>
            <charset val="1"/>
          </rPr>
          <t xml:space="preserve">andreia:
</t>
        </r>
        <r>
          <rPr>
            <sz val="8"/>
            <color rgb="FF000000"/>
            <rFont val="Tahoma"/>
            <family val="0"/>
            <charset val="1"/>
          </rPr>
          <t xml:space="preserve">Pontue cada um dos fatores da tabela ao lado de 0 a 5.
Para os fatores F1 a F4, 0 significa que a equipe não tem nenhuma experiência no assunto; 5 significa que a equipe é especialista no assunto; 3 significa conhecimento médio.
Para o fator F5, 0 significa que a equipe não está motivada com o projeto; 5 significa alta motivação com o projeto; 3 significa média motivação com o projeto.
Para o fator F6, 0 significa que os requisitos são extremamente instáveis; 5 significa que os requisitos não irão mudar; 3 significa instabilidade média dos requisitos.
Para o fator F7, 0 significa que nenhum membro da equipe está trabalhando em regime de dedicação parcial ao projeto; 5 significa que todos os membros da equipe trabalham em regime de dedicação parcial; 3 significa que aproximadamente metade da equipe trabalha em regime de dedicação parcial.
Para o fator F8, 0 siginifica que a equipe detém um bom conhecimento da tecnologia e o ambiente está bem configurado; 5 siginifica que a equipe não tem qualquer conhecimento da tecnologia e não existe experiência para configuração adequada do ambiente; 3 siginifica que há um domínio razoável da tecnologia possibilitando uma configuração do satisfatótia do ambiente.</t>
        </r>
      </text>
    </comment>
    <comment ref="F51" authorId="0">
      <text>
        <r>
          <rPr>
            <sz val="8"/>
            <color rgb="FF000000"/>
            <rFont val="Tahoma"/>
            <family val="0"/>
            <charset val="1"/>
          </rPr>
          <t xml:space="preserve">0 - nenhuma experiência no assunto
3 - conhecimento médio
5 - especialista no assunto</t>
        </r>
      </text>
    </comment>
    <comment ref="F52" authorId="0">
      <text>
        <r>
          <rPr>
            <sz val="8"/>
            <color rgb="FF000000"/>
            <rFont val="Tahoma"/>
            <family val="2"/>
            <charset val="1"/>
          </rPr>
          <t xml:space="preserve">0 - baixa
3 - média
5 - alta
</t>
        </r>
      </text>
    </comment>
    <comment ref="F53" authorId="0">
      <text>
        <r>
          <rPr>
            <sz val="8"/>
            <color rgb="FF000000"/>
            <rFont val="Tahoma"/>
            <family val="0"/>
            <charset val="1"/>
          </rPr>
          <t xml:space="preserve">0 - nenhuma experiência no assunto
3 - conhecimento médio
5 - especialista no assunto</t>
        </r>
      </text>
    </comment>
    <comment ref="F54" authorId="0">
      <text>
        <r>
          <rPr>
            <sz val="8"/>
            <color rgb="FF000000"/>
            <rFont val="Tahoma"/>
            <family val="0"/>
            <charset val="1"/>
          </rPr>
          <t xml:space="preserve">0 - nenhuma experiência no assunto
3 - conhecimento médio
5 - especialista no assunto</t>
        </r>
      </text>
    </comment>
    <comment ref="F55" authorId="0">
      <text>
        <r>
          <rPr>
            <sz val="8"/>
            <color rgb="FF000000"/>
            <rFont val="Tahoma"/>
            <family val="0"/>
            <charset val="1"/>
          </rPr>
          <t xml:space="preserve">0 - sem motivação
3 - motivação média
5 - motivação alta</t>
        </r>
      </text>
    </comment>
    <comment ref="F56" authorId="0">
      <text>
        <r>
          <rPr>
            <sz val="8"/>
            <color rgb="FF000000"/>
            <rFont val="Tahoma"/>
            <family val="0"/>
            <charset val="1"/>
          </rPr>
          <t xml:space="preserve">0 - requisitos extremamente instáveis
3 - instabilidade média dos requisitos
5 - requisitos não irão mudar</t>
        </r>
      </text>
    </comment>
    <comment ref="F57" authorId="0">
      <text>
        <r>
          <rPr>
            <sz val="8"/>
            <color rgb="FF000000"/>
            <rFont val="Tahoma"/>
            <family val="0"/>
            <charset val="1"/>
          </rPr>
          <t xml:space="preserve">0 - ninguém em dedicação parcial ao projeto
3 - metade em dedicação parcial
5 - todos em regime de dedicação parcial</t>
        </r>
      </text>
    </comment>
    <comment ref="F58" authorId="0">
      <text>
        <r>
          <rPr>
            <sz val="8"/>
            <color rgb="FF000000"/>
            <rFont val="Tahoma"/>
            <family val="0"/>
            <charset val="1"/>
          </rPr>
          <t xml:space="preserve">0 - bom conhecimento da tecnologia e ambiente bem configurado
3 - domínio razoável da tecnologia possibilitando uma configuração do satisfatótia do ambiente
5 - não tem qualquer conhecimento da tecnologia e não existe experiência para configuração adequada do ambiente
</t>
        </r>
      </text>
    </comment>
    <comment ref="G11" authorId="0">
      <text>
        <r>
          <rPr>
            <sz val="8"/>
            <color rgb="FF000000"/>
            <rFont val="Tahoma"/>
            <family val="0"/>
            <charset val="1"/>
          </rPr>
          <t xml:space="preserve">Número total de atores </t>
        </r>
        <r>
          <rPr>
            <i val="true"/>
            <sz val="8"/>
            <color rgb="FF000000"/>
            <rFont val="Tahoma"/>
            <family val="2"/>
            <charset val="1"/>
          </rPr>
          <t xml:space="preserve">simples</t>
        </r>
        <r>
          <rPr>
            <sz val="8"/>
            <color rgb="FF000000"/>
            <rFont val="Tahoma"/>
            <family val="0"/>
            <charset val="1"/>
          </rPr>
          <t xml:space="preserve"> com os quais o sistema interage.</t>
        </r>
      </text>
    </comment>
    <comment ref="G12" authorId="0">
      <text>
        <r>
          <rPr>
            <sz val="8"/>
            <color rgb="FF000000"/>
            <rFont val="Tahoma"/>
            <family val="0"/>
            <charset val="1"/>
          </rPr>
          <t xml:space="preserve">Número total de atores de </t>
        </r>
        <r>
          <rPr>
            <i val="true"/>
            <sz val="8"/>
            <color rgb="FF000000"/>
            <rFont val="Tahoma"/>
            <family val="2"/>
            <charset val="1"/>
          </rPr>
          <t xml:space="preserve">complexidade média</t>
        </r>
        <r>
          <rPr>
            <sz val="8"/>
            <color rgb="FF000000"/>
            <rFont val="Tahoma"/>
            <family val="0"/>
            <charset val="1"/>
          </rPr>
          <t xml:space="preserve"> com os quais o sistema interage.</t>
        </r>
      </text>
    </comment>
    <comment ref="G13" authorId="0">
      <text>
        <r>
          <rPr>
            <sz val="8"/>
            <color rgb="FF000000"/>
            <rFont val="Tahoma"/>
            <family val="0"/>
            <charset val="1"/>
          </rPr>
          <t xml:space="preserve">Número total de atores </t>
        </r>
        <r>
          <rPr>
            <i val="true"/>
            <sz val="8"/>
            <color rgb="FF000000"/>
            <rFont val="Tahoma"/>
            <family val="2"/>
            <charset val="1"/>
          </rPr>
          <t xml:space="preserve">complexos</t>
        </r>
        <r>
          <rPr>
            <sz val="8"/>
            <color rgb="FF000000"/>
            <rFont val="Tahoma"/>
            <family val="0"/>
            <charset val="1"/>
          </rPr>
          <t xml:space="preserve"> com os quais o sistema interage.</t>
        </r>
      </text>
    </comment>
    <comment ref="G19" authorId="0">
      <text>
        <r>
          <rPr>
            <sz val="8"/>
            <color rgb="FF000000"/>
            <rFont val="Tahoma"/>
            <family val="0"/>
            <charset val="1"/>
          </rPr>
          <t xml:space="preserve">Quantidade de casos de uso simples.</t>
        </r>
      </text>
    </comment>
    <comment ref="G20" authorId="0">
      <text>
        <r>
          <rPr>
            <sz val="8"/>
            <color rgb="FF000000"/>
            <rFont val="Tahoma"/>
            <family val="0"/>
            <charset val="1"/>
          </rPr>
          <t xml:space="preserve">Quantidade de casos de uso médio</t>
        </r>
      </text>
    </comment>
    <comment ref="G21" authorId="0">
      <text>
        <r>
          <rPr>
            <sz val="8"/>
            <color rgb="FF000000"/>
            <rFont val="Tahoma"/>
            <family val="0"/>
            <charset val="1"/>
          </rPr>
          <t xml:space="preserve">Quantidade de casos de uso complexos.</t>
        </r>
      </text>
    </comment>
  </commentList>
</comments>
</file>

<file path=xl/sharedStrings.xml><?xml version="1.0" encoding="utf-8"?>
<sst xmlns="http://schemas.openxmlformats.org/spreadsheetml/2006/main" count="109" uniqueCount="95">
  <si>
    <t xml:space="preserve">Estimativa de esforço baseado em pontos de casos de uso</t>
  </si>
  <si>
    <t xml:space="preserve">Referências</t>
  </si>
  <si>
    <r>
      <rPr>
        <i val="true"/>
        <sz val="10"/>
        <rFont val="Arial"/>
        <family val="2"/>
        <charset val="1"/>
      </rPr>
      <t xml:space="preserve">Resource Estimation for Objectory Projects</t>
    </r>
    <r>
      <rPr>
        <sz val="10"/>
        <rFont val="Arial"/>
        <family val="2"/>
        <charset val="1"/>
      </rPr>
      <t xml:space="preserve"> de Gustav Karner (artigo)</t>
    </r>
  </si>
  <si>
    <r>
      <rPr>
        <i val="true"/>
        <sz val="10"/>
        <rFont val="Arial"/>
        <family val="2"/>
        <charset val="1"/>
      </rPr>
      <t xml:space="preserve">Applying Use Cases - A Pratical Guide </t>
    </r>
    <r>
      <rPr>
        <sz val="10"/>
        <rFont val="Arial"/>
        <family val="2"/>
        <charset val="1"/>
      </rPr>
      <t xml:space="preserve">de Geri Schneider e Jason P. Winters (livro)</t>
    </r>
  </si>
  <si>
    <t xml:space="preserve">1.0. Mensurando Complexidade dos Atores</t>
  </si>
  <si>
    <t xml:space="preserve">Ator</t>
  </si>
  <si>
    <t xml:space="preserve">Interface</t>
  </si>
  <si>
    <t xml:space="preserve">Peso</t>
  </si>
  <si>
    <t xml:space="preserve">Qtd. Atores</t>
  </si>
  <si>
    <t xml:space="preserve">Valor</t>
  </si>
  <si>
    <t xml:space="preserve">Simples</t>
  </si>
  <si>
    <t xml:space="preserve">Interface de programa (API)</t>
  </si>
  <si>
    <t xml:space="preserve">Médio</t>
  </si>
  <si>
    <t xml:space="preserve">Protocolo (Ex.:TCP/IP) ou interface em modo texto</t>
  </si>
  <si>
    <t xml:space="preserve">Complexo</t>
  </si>
  <si>
    <t xml:space="preserve">Interface gráfica</t>
  </si>
  <si>
    <t xml:space="preserve">Total</t>
  </si>
  <si>
    <t xml:space="preserve">2.0. Mensurando Complexidade dos Use Cases</t>
  </si>
  <si>
    <t xml:space="preserve">Caso de Uso</t>
  </si>
  <si>
    <t xml:space="preserve">Descrição</t>
  </si>
  <si>
    <t xml:space="preserve">Qtd. Casos de Uso</t>
  </si>
  <si>
    <t xml:space="preserve">&lt; 3 transações ou &lt; 5 classes de análise</t>
  </si>
  <si>
    <t xml:space="preserve">4-7 transações ou  5 a 10 classes de análise</t>
  </si>
  <si>
    <t xml:space="preserve">&gt; 7 transações ou &gt; 10 classes  de análise</t>
  </si>
  <si>
    <t xml:space="preserve">PCUNA</t>
  </si>
  <si>
    <t xml:space="preserve">PCUNA = Pontos de Casos de Uso Não Ajustados</t>
  </si>
  <si>
    <t xml:space="preserve">3.0. Considerando Fatores Técnicos do Projeto</t>
  </si>
  <si>
    <t xml:space="preserve">Fator</t>
  </si>
  <si>
    <t xml:space="preserve">Atribuído</t>
  </si>
  <si>
    <t xml:space="preserve">T1</t>
  </si>
  <si>
    <t xml:space="preserve">Sistema distribuído</t>
  </si>
  <si>
    <t xml:space="preserve">T2</t>
  </si>
  <si>
    <t xml:space="preserve">Objetivos de performance</t>
  </si>
  <si>
    <t xml:space="preserve">T3</t>
  </si>
  <si>
    <t xml:space="preserve">Eficiênca on-line</t>
  </si>
  <si>
    <t xml:space="preserve">*</t>
  </si>
  <si>
    <t xml:space="preserve">T4</t>
  </si>
  <si>
    <t xml:space="preserve">Complexidade de processamento</t>
  </si>
  <si>
    <t xml:space="preserve">T5</t>
  </si>
  <si>
    <t xml:space="preserve">Código reusável em outras aplicações</t>
  </si>
  <si>
    <t xml:space="preserve">T6</t>
  </si>
  <si>
    <t xml:space="preserve">Facilidade de instalação</t>
  </si>
  <si>
    <t xml:space="preserve">T7</t>
  </si>
  <si>
    <t xml:space="preserve">Facilidade de uso</t>
  </si>
  <si>
    <t xml:space="preserve">T8</t>
  </si>
  <si>
    <t xml:space="preserve">Portabilidade</t>
  </si>
  <si>
    <t xml:space="preserve">T9</t>
  </si>
  <si>
    <r>
      <rPr>
        <sz val="10"/>
        <rFont val="Arial"/>
        <family val="0"/>
        <charset val="1"/>
      </rPr>
      <t xml:space="preserve">Facilidade de alterações (</t>
    </r>
    <r>
      <rPr>
        <i val="true"/>
        <sz val="10"/>
        <rFont val="Arial"/>
        <family val="2"/>
        <charset val="1"/>
      </rPr>
      <t xml:space="preserve">changeability</t>
    </r>
    <r>
      <rPr>
        <sz val="10"/>
        <rFont val="Arial"/>
        <family val="0"/>
        <charset val="1"/>
      </rPr>
      <t xml:space="preserve">)</t>
    </r>
  </si>
  <si>
    <t xml:space="preserve">T10</t>
  </si>
  <si>
    <t xml:space="preserve">Concorrência</t>
  </si>
  <si>
    <t xml:space="preserve">T11</t>
  </si>
  <si>
    <t xml:space="preserve">Segurança</t>
  </si>
  <si>
    <t xml:space="preserve">T12</t>
  </si>
  <si>
    <t xml:space="preserve">Acesso direto a terceiros</t>
  </si>
  <si>
    <t xml:space="preserve">T13</t>
  </si>
  <si>
    <t xml:space="preserve">Necessidade de facilidades especiais de treinamento para usuários</t>
  </si>
  <si>
    <t xml:space="preserve">FatorT</t>
  </si>
  <si>
    <t xml:space="preserve">FCT</t>
  </si>
  <si>
    <t xml:space="preserve">FCT = Fator de Complexidade Técnica</t>
  </si>
  <si>
    <t xml:space="preserve">4.0. Considerando Fatores Ambientais</t>
  </si>
  <si>
    <t xml:space="preserve">F1</t>
  </si>
  <si>
    <t xml:space="preserve">Familiaridade da equipe com RUP</t>
  </si>
  <si>
    <t xml:space="preserve">F2</t>
  </si>
  <si>
    <t xml:space="preserve">Experiência da equipe</t>
  </si>
  <si>
    <t xml:space="preserve">F3</t>
  </si>
  <si>
    <t xml:space="preserve">Experiência da equipe em OO</t>
  </si>
  <si>
    <t xml:space="preserve">F4</t>
  </si>
  <si>
    <t xml:space="preserve">Capacidade dos analistas da equipe</t>
  </si>
  <si>
    <t xml:space="preserve">F5</t>
  </si>
  <si>
    <t xml:space="preserve">Motivação</t>
  </si>
  <si>
    <t xml:space="preserve">F6</t>
  </si>
  <si>
    <t xml:space="preserve">Estabilidade dos requisitos</t>
  </si>
  <si>
    <t xml:space="preserve">F7</t>
  </si>
  <si>
    <t xml:space="preserve">Estagiários ou funcionários em tempo parcial</t>
  </si>
  <si>
    <t xml:space="preserve">F8</t>
  </si>
  <si>
    <t xml:space="preserve">Domínio da tecnologia e configuração do ambiente</t>
  </si>
  <si>
    <t xml:space="preserve">FatorA</t>
  </si>
  <si>
    <t xml:space="preserve">FA</t>
  </si>
  <si>
    <t xml:space="preserve">FA = Fator Ambiental</t>
  </si>
  <si>
    <t xml:space="preserve">X</t>
  </si>
  <si>
    <t xml:space="preserve">5.0. Pontos de Caso de Uso</t>
  </si>
  <si>
    <t xml:space="preserve">Y</t>
  </si>
  <si>
    <t xml:space="preserve">X + Y</t>
  </si>
  <si>
    <t xml:space="preserve">PCU</t>
  </si>
  <si>
    <t xml:space="preserve">PCUNA *FCT*FA</t>
  </si>
  <si>
    <t xml:space="preserve">Pessoa-hora por unidade de PCU</t>
  </si>
  <si>
    <t xml:space="preserve">pessoa-hora/PCU</t>
  </si>
  <si>
    <t xml:space="preserve">Sugestão:</t>
  </si>
  <si>
    <t xml:space="preserve">Estimativa em pessoa-hora</t>
  </si>
  <si>
    <t xml:space="preserve">Tamanho da equipe</t>
  </si>
  <si>
    <t xml:space="preserve">pessoas</t>
  </si>
  <si>
    <t xml:space="preserve">Estimativa em horas</t>
  </si>
  <si>
    <t xml:space="preserve">horas</t>
  </si>
  <si>
    <t xml:space="preserve">Estimativa em meses </t>
  </si>
  <si>
    <t xml:space="preserve">meses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</si>
</sst>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8"/>
      <color rgb="FF000000"/>
      <name val="Tahoma"/>
      <family val="2"/>
      <charset val="1"/>
    </font>
    <font>
      <sz val="8"/>
      <color rgb="FF000000"/>
      <name val="Tahoma"/>
      <family val="0"/>
      <charset val="1"/>
    </font>
    <font>
      <i val="true"/>
      <sz val="8"/>
      <color rgb="FF000000"/>
      <name val="Tahoma"/>
      <family val="2"/>
      <charset val="1"/>
    </font>
    <font>
      <b val="true"/>
      <sz val="8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6"/>
  <sheetViews>
    <sheetView showFormulas="false" showGridLines="true" showRowColHeaders="true" showZeros="true" rightToLeft="false" tabSelected="true" showOutlineSymbols="true" defaultGridColor="true" view="normal" topLeftCell="A58" colorId="64" zoomScale="150" zoomScaleNormal="150" zoomScalePageLayoutView="100" workbookViewId="0">
      <selection pane="topLeft" activeCell="E76" activeCellId="0" sqref="E76"/>
    </sheetView>
  </sheetViews>
  <sheetFormatPr defaultRowHeight="13.2" outlineLevelRow="0" outlineLevelCol="0"/>
  <cols>
    <col collapsed="false" customWidth="true" hidden="false" outlineLevel="0" max="1" min="1" style="0" width="4.89"/>
    <col collapsed="false" customWidth="true" hidden="false" outlineLevel="0" max="2" min="2" style="0" width="8.67"/>
    <col collapsed="false" customWidth="true" hidden="false" outlineLevel="0" max="3" min="3" style="0" width="57.44"/>
    <col collapsed="false" customWidth="true" hidden="false" outlineLevel="0" max="4" min="4" style="0" width="6.66"/>
    <col collapsed="false" customWidth="true" hidden="false" outlineLevel="0" max="5" min="5" style="0" width="8.67"/>
    <col collapsed="false" customWidth="true" hidden="false" outlineLevel="0" max="6" min="6" style="0" width="10.89"/>
    <col collapsed="false" customWidth="true" hidden="false" outlineLevel="0" max="7" min="7" style="0" width="17.89"/>
    <col collapsed="false" customWidth="true" hidden="false" outlineLevel="0" max="1025" min="8" style="0" width="8.67"/>
  </cols>
  <sheetData>
    <row r="1" customFormat="false" ht="24.45" hidden="false" customHeight="false" outlineLevel="0" collapsed="false">
      <c r="A1" s="1" t="s">
        <v>0</v>
      </c>
    </row>
    <row r="3" customFormat="false" ht="13.2" hidden="false" customHeight="false" outlineLevel="0" collapsed="false">
      <c r="B3" s="2" t="s">
        <v>1</v>
      </c>
    </row>
    <row r="4" customFormat="false" ht="13.2" hidden="false" customHeight="false" outlineLevel="0" collapsed="false">
      <c r="C4" s="3" t="s">
        <v>2</v>
      </c>
    </row>
    <row r="5" customFormat="false" ht="13.2" hidden="false" customHeight="false" outlineLevel="0" collapsed="false">
      <c r="C5" s="3" t="s">
        <v>3</v>
      </c>
    </row>
    <row r="6" customFormat="false" ht="13.2" hidden="false" customHeight="false" outlineLevel="0" collapsed="false">
      <c r="C6" s="3"/>
    </row>
    <row r="8" customFormat="false" ht="13.2" hidden="false" customHeight="false" outlineLevel="0" collapsed="false">
      <c r="A8" s="2" t="s">
        <v>4</v>
      </c>
      <c r="B8" s="2"/>
    </row>
    <row r="10" customFormat="false" ht="13.2" hidden="false" customHeight="false" outlineLevel="0" collapsed="false">
      <c r="B10" s="4" t="s">
        <v>5</v>
      </c>
      <c r="C10" s="5" t="s">
        <v>6</v>
      </c>
      <c r="D10" s="6" t="s">
        <v>7</v>
      </c>
      <c r="G10" s="6" t="s">
        <v>8</v>
      </c>
      <c r="H10" s="5" t="s">
        <v>9</v>
      </c>
    </row>
    <row r="11" customFormat="false" ht="12.8" hidden="false" customHeight="false" outlineLevel="0" collapsed="false">
      <c r="B11" s="7" t="s">
        <v>10</v>
      </c>
      <c r="C11" s="8" t="s">
        <v>11</v>
      </c>
      <c r="D11" s="9" t="n">
        <v>1</v>
      </c>
      <c r="G11" s="10" t="n">
        <v>0</v>
      </c>
      <c r="H11" s="11" t="n">
        <f aca="false">D11*G11</f>
        <v>0</v>
      </c>
    </row>
    <row r="12" customFormat="false" ht="13.2" hidden="false" customHeight="false" outlineLevel="0" collapsed="false">
      <c r="B12" s="7" t="s">
        <v>12</v>
      </c>
      <c r="C12" s="8" t="s">
        <v>13</v>
      </c>
      <c r="D12" s="9" t="n">
        <v>2</v>
      </c>
      <c r="G12" s="12" t="n">
        <v>6</v>
      </c>
      <c r="H12" s="8" t="n">
        <f aca="false">D12*G12</f>
        <v>12</v>
      </c>
    </row>
    <row r="13" customFormat="false" ht="13.2" hidden="false" customHeight="false" outlineLevel="0" collapsed="false">
      <c r="B13" s="13" t="s">
        <v>14</v>
      </c>
      <c r="C13" s="14" t="s">
        <v>15</v>
      </c>
      <c r="D13" s="15" t="n">
        <v>3</v>
      </c>
      <c r="G13" s="12" t="n">
        <v>6</v>
      </c>
      <c r="H13" s="8" t="n">
        <f aca="false">D13*G13</f>
        <v>18</v>
      </c>
    </row>
    <row r="14" customFormat="false" ht="13.2" hidden="false" customHeight="false" outlineLevel="0" collapsed="false">
      <c r="F14" s="16" t="s">
        <v>16</v>
      </c>
      <c r="G14" s="17" t="n">
        <f aca="false">SUM(G11:G13)</f>
        <v>12</v>
      </c>
      <c r="H14" s="18" t="n">
        <f aca="false">SUM(H11:H13)</f>
        <v>30</v>
      </c>
    </row>
    <row r="16" customFormat="false" ht="13.2" hidden="false" customHeight="false" outlineLevel="0" collapsed="false">
      <c r="A16" s="2" t="s">
        <v>17</v>
      </c>
      <c r="B16" s="2"/>
    </row>
    <row r="18" customFormat="false" ht="13.2" hidden="false" customHeight="false" outlineLevel="0" collapsed="false">
      <c r="B18" s="4" t="s">
        <v>18</v>
      </c>
      <c r="C18" s="5" t="s">
        <v>19</v>
      </c>
      <c r="D18" s="6" t="s">
        <v>7</v>
      </c>
      <c r="G18" s="6" t="s">
        <v>20</v>
      </c>
      <c r="H18" s="5" t="s">
        <v>9</v>
      </c>
    </row>
    <row r="19" customFormat="false" ht="13.2" hidden="false" customHeight="false" outlineLevel="0" collapsed="false">
      <c r="B19" s="7" t="s">
        <v>10</v>
      </c>
      <c r="C19" s="8" t="s">
        <v>21</v>
      </c>
      <c r="D19" s="9" t="n">
        <v>5</v>
      </c>
      <c r="G19" s="10" t="n">
        <v>0</v>
      </c>
      <c r="H19" s="11" t="n">
        <f aca="false">D19*G19</f>
        <v>0</v>
      </c>
    </row>
    <row r="20" customFormat="false" ht="13.2" hidden="false" customHeight="false" outlineLevel="0" collapsed="false">
      <c r="B20" s="7" t="s">
        <v>12</v>
      </c>
      <c r="C20" s="8" t="s">
        <v>22</v>
      </c>
      <c r="D20" s="9" t="n">
        <v>10</v>
      </c>
      <c r="G20" s="12" t="n">
        <v>0</v>
      </c>
      <c r="H20" s="8" t="n">
        <f aca="false">D20*G20</f>
        <v>0</v>
      </c>
    </row>
    <row r="21" customFormat="false" ht="13.2" hidden="false" customHeight="false" outlineLevel="0" collapsed="false">
      <c r="B21" s="13" t="s">
        <v>14</v>
      </c>
      <c r="C21" s="14" t="s">
        <v>23</v>
      </c>
      <c r="D21" s="15" t="n">
        <v>15</v>
      </c>
      <c r="G21" s="12" t="n">
        <v>11</v>
      </c>
      <c r="H21" s="8" t="n">
        <f aca="false">D21*G21</f>
        <v>165</v>
      </c>
    </row>
    <row r="22" customFormat="false" ht="13.2" hidden="false" customHeight="false" outlineLevel="0" collapsed="false">
      <c r="F22" s="16" t="s">
        <v>16</v>
      </c>
      <c r="G22" s="18" t="n">
        <f aca="false">SUM(G19:G21)</f>
        <v>11</v>
      </c>
      <c r="H22" s="17" t="n">
        <f aca="false">SUM(H19:H21)</f>
        <v>165</v>
      </c>
    </row>
    <row r="24" customFormat="false" ht="13.2" hidden="false" customHeight="false" outlineLevel="0" collapsed="false">
      <c r="F24" s="16" t="s">
        <v>24</v>
      </c>
      <c r="G24" s="19" t="n">
        <f aca="false">H22 + H14</f>
        <v>195</v>
      </c>
    </row>
    <row r="25" customFormat="false" ht="13.2" hidden="false" customHeight="false" outlineLevel="0" collapsed="false">
      <c r="F25" s="0" t="s">
        <v>25</v>
      </c>
    </row>
    <row r="27" customFormat="false" ht="13.2" hidden="false" customHeight="false" outlineLevel="0" collapsed="false">
      <c r="A27" s="2" t="s">
        <v>26</v>
      </c>
      <c r="B27" s="2"/>
      <c r="C27" s="2"/>
    </row>
    <row r="29" customFormat="false" ht="13.2" hidden="false" customHeight="false" outlineLevel="0" collapsed="false">
      <c r="B29" s="4" t="s">
        <v>27</v>
      </c>
      <c r="C29" s="6" t="s">
        <v>19</v>
      </c>
      <c r="D29" s="5" t="s">
        <v>7</v>
      </c>
      <c r="F29" s="6" t="s">
        <v>28</v>
      </c>
      <c r="G29" s="5" t="s">
        <v>9</v>
      </c>
    </row>
    <row r="30" customFormat="false" ht="12.8" hidden="false" customHeight="false" outlineLevel="0" collapsed="false">
      <c r="B30" s="17" t="s">
        <v>29</v>
      </c>
      <c r="C30" s="17" t="s">
        <v>30</v>
      </c>
      <c r="D30" s="17" t="n">
        <v>2</v>
      </c>
      <c r="F30" s="10" t="n">
        <v>0</v>
      </c>
      <c r="G30" s="11" t="n">
        <f aca="false">D30*F30</f>
        <v>0</v>
      </c>
    </row>
    <row r="31" customFormat="false" ht="13.2" hidden="false" customHeight="false" outlineLevel="0" collapsed="false">
      <c r="B31" s="17" t="s">
        <v>31</v>
      </c>
      <c r="C31" s="17" t="s">
        <v>32</v>
      </c>
      <c r="D31" s="17" t="n">
        <v>1</v>
      </c>
      <c r="F31" s="10" t="n">
        <v>5</v>
      </c>
      <c r="G31" s="8" t="n">
        <f aca="false">D31*F31</f>
        <v>5</v>
      </c>
    </row>
    <row r="32" customFormat="false" ht="12.8" hidden="false" customHeight="false" outlineLevel="0" collapsed="false">
      <c r="B32" s="17" t="s">
        <v>33</v>
      </c>
      <c r="C32" s="17" t="s">
        <v>34</v>
      </c>
      <c r="D32" s="17" t="n">
        <v>1</v>
      </c>
      <c r="E32" s="20" t="s">
        <v>35</v>
      </c>
      <c r="F32" s="10" t="n">
        <v>5</v>
      </c>
      <c r="G32" s="8" t="n">
        <f aca="false">D32*F32</f>
        <v>5</v>
      </c>
    </row>
    <row r="33" customFormat="false" ht="13.2" hidden="false" customHeight="false" outlineLevel="0" collapsed="false">
      <c r="B33" s="17" t="s">
        <v>36</v>
      </c>
      <c r="C33" s="17" t="s">
        <v>37</v>
      </c>
      <c r="D33" s="17" t="n">
        <v>1</v>
      </c>
      <c r="F33" s="10" t="n">
        <v>5</v>
      </c>
      <c r="G33" s="8" t="n">
        <f aca="false">D33*F33</f>
        <v>5</v>
      </c>
    </row>
    <row r="34" customFormat="false" ht="13.2" hidden="false" customHeight="false" outlineLevel="0" collapsed="false">
      <c r="B34" s="17" t="s">
        <v>38</v>
      </c>
      <c r="C34" s="17" t="s">
        <v>39</v>
      </c>
      <c r="D34" s="17" t="n">
        <v>1</v>
      </c>
      <c r="F34" s="10" t="n">
        <v>0</v>
      </c>
      <c r="G34" s="8" t="n">
        <f aca="false">D34*F34</f>
        <v>0</v>
      </c>
    </row>
    <row r="35" customFormat="false" ht="13.2" hidden="false" customHeight="false" outlineLevel="0" collapsed="false">
      <c r="B35" s="17" t="s">
        <v>40</v>
      </c>
      <c r="C35" s="17" t="s">
        <v>41</v>
      </c>
      <c r="D35" s="17" t="n">
        <v>0.5</v>
      </c>
      <c r="F35" s="10" t="n">
        <v>2</v>
      </c>
      <c r="G35" s="8" t="n">
        <f aca="false">D35*F35</f>
        <v>1</v>
      </c>
    </row>
    <row r="36" customFormat="false" ht="13.2" hidden="false" customHeight="false" outlineLevel="0" collapsed="false">
      <c r="B36" s="17" t="s">
        <v>42</v>
      </c>
      <c r="C36" s="17" t="s">
        <v>43</v>
      </c>
      <c r="D36" s="17" t="n">
        <v>0.5</v>
      </c>
      <c r="F36" s="10" t="n">
        <v>5</v>
      </c>
      <c r="G36" s="8" t="n">
        <f aca="false">D36*F36</f>
        <v>2.5</v>
      </c>
    </row>
    <row r="37" customFormat="false" ht="13.2" hidden="false" customHeight="false" outlineLevel="0" collapsed="false">
      <c r="B37" s="17" t="s">
        <v>44</v>
      </c>
      <c r="C37" s="17" t="s">
        <v>45</v>
      </c>
      <c r="D37" s="17" t="n">
        <v>2</v>
      </c>
      <c r="F37" s="10" t="n">
        <v>5</v>
      </c>
      <c r="G37" s="8" t="n">
        <f aca="false">D37*F37</f>
        <v>10</v>
      </c>
    </row>
    <row r="38" customFormat="false" ht="13.2" hidden="false" customHeight="false" outlineLevel="0" collapsed="false">
      <c r="B38" s="17" t="s">
        <v>46</v>
      </c>
      <c r="C38" s="17" t="s">
        <v>47</v>
      </c>
      <c r="D38" s="17" t="n">
        <v>1</v>
      </c>
      <c r="F38" s="10" t="n">
        <v>5</v>
      </c>
      <c r="G38" s="8" t="n">
        <f aca="false">D38*F38</f>
        <v>5</v>
      </c>
    </row>
    <row r="39" customFormat="false" ht="13.2" hidden="false" customHeight="false" outlineLevel="0" collapsed="false">
      <c r="B39" s="17" t="s">
        <v>48</v>
      </c>
      <c r="C39" s="17" t="s">
        <v>49</v>
      </c>
      <c r="D39" s="17" t="n">
        <v>1</v>
      </c>
      <c r="F39" s="10" t="n">
        <v>5</v>
      </c>
      <c r="G39" s="8" t="n">
        <f aca="false">D39*F39</f>
        <v>5</v>
      </c>
    </row>
    <row r="40" customFormat="false" ht="13.2" hidden="false" customHeight="false" outlineLevel="0" collapsed="false">
      <c r="B40" s="17" t="s">
        <v>50</v>
      </c>
      <c r="C40" s="17" t="s">
        <v>51</v>
      </c>
      <c r="D40" s="17" t="n">
        <v>1</v>
      </c>
      <c r="F40" s="10" t="n">
        <v>5</v>
      </c>
      <c r="G40" s="8" t="n">
        <f aca="false">D40*F40</f>
        <v>5</v>
      </c>
    </row>
    <row r="41" customFormat="false" ht="13.2" hidden="false" customHeight="false" outlineLevel="0" collapsed="false">
      <c r="B41" s="17" t="s">
        <v>52</v>
      </c>
      <c r="C41" s="17" t="s">
        <v>53</v>
      </c>
      <c r="D41" s="17" t="n">
        <v>1</v>
      </c>
      <c r="F41" s="10" t="n">
        <v>2</v>
      </c>
      <c r="G41" s="8" t="n">
        <f aca="false">D41*F41</f>
        <v>2</v>
      </c>
    </row>
    <row r="42" customFormat="false" ht="13.2" hidden="false" customHeight="false" outlineLevel="0" collapsed="false">
      <c r="B42" s="17" t="s">
        <v>54</v>
      </c>
      <c r="C42" s="17" t="s">
        <v>55</v>
      </c>
      <c r="D42" s="17" t="n">
        <v>1</v>
      </c>
      <c r="F42" s="10" t="n">
        <v>5</v>
      </c>
      <c r="G42" s="14" t="n">
        <f aca="false">D42*F42</f>
        <v>5</v>
      </c>
    </row>
    <row r="43" customFormat="false" ht="13.2" hidden="false" customHeight="false" outlineLevel="0" collapsed="false">
      <c r="F43" s="16" t="s">
        <v>56</v>
      </c>
      <c r="G43" s="18" t="n">
        <f aca="false">SUM(G30:G42)</f>
        <v>50.5</v>
      </c>
    </row>
    <row r="45" customFormat="false" ht="13.2" hidden="false" customHeight="false" outlineLevel="0" collapsed="false">
      <c r="F45" s="21" t="s">
        <v>57</v>
      </c>
      <c r="G45" s="17" t="n">
        <f aca="false">0.6+(0.01 * G43)</f>
        <v>1.105</v>
      </c>
    </row>
    <row r="46" customFormat="false" ht="13.2" hidden="false" customHeight="false" outlineLevel="0" collapsed="false">
      <c r="F46" s="0" t="s">
        <v>58</v>
      </c>
    </row>
    <row r="48" customFormat="false" ht="13.2" hidden="false" customHeight="false" outlineLevel="0" collapsed="false">
      <c r="A48" s="2" t="s">
        <v>59</v>
      </c>
      <c r="B48" s="2"/>
      <c r="C48" s="2"/>
    </row>
    <row r="50" customFormat="false" ht="13.2" hidden="false" customHeight="false" outlineLevel="0" collapsed="false">
      <c r="B50" s="4" t="s">
        <v>27</v>
      </c>
      <c r="C50" s="6" t="s">
        <v>19</v>
      </c>
      <c r="D50" s="5" t="s">
        <v>7</v>
      </c>
      <c r="F50" s="6" t="s">
        <v>28</v>
      </c>
      <c r="G50" s="5" t="s">
        <v>9</v>
      </c>
    </row>
    <row r="51" customFormat="false" ht="13.2" hidden="false" customHeight="false" outlineLevel="0" collapsed="false">
      <c r="B51" s="17" t="s">
        <v>60</v>
      </c>
      <c r="C51" s="17" t="s">
        <v>61</v>
      </c>
      <c r="D51" s="17" t="n">
        <v>1.5</v>
      </c>
      <c r="F51" s="10" t="n">
        <v>0</v>
      </c>
      <c r="G51" s="11" t="n">
        <f aca="false">D51*F51</f>
        <v>0</v>
      </c>
    </row>
    <row r="52" customFormat="false" ht="13.2" hidden="false" customHeight="false" outlineLevel="0" collapsed="false">
      <c r="B52" s="17" t="s">
        <v>62</v>
      </c>
      <c r="C52" s="17" t="s">
        <v>63</v>
      </c>
      <c r="D52" s="17" t="n">
        <v>0.5</v>
      </c>
      <c r="F52" s="10" t="n">
        <v>3</v>
      </c>
      <c r="G52" s="8" t="n">
        <f aca="false">D52*F52</f>
        <v>1.5</v>
      </c>
    </row>
    <row r="53" customFormat="false" ht="13.2" hidden="false" customHeight="false" outlineLevel="0" collapsed="false">
      <c r="B53" s="17" t="s">
        <v>64</v>
      </c>
      <c r="C53" s="17" t="s">
        <v>65</v>
      </c>
      <c r="D53" s="17" t="n">
        <v>1</v>
      </c>
      <c r="F53" s="10" t="n">
        <v>3</v>
      </c>
      <c r="G53" s="8" t="n">
        <f aca="false">D53*F53</f>
        <v>3</v>
      </c>
      <c r="I53" s="22"/>
    </row>
    <row r="54" customFormat="false" ht="13.2" hidden="false" customHeight="false" outlineLevel="0" collapsed="false">
      <c r="B54" s="17" t="s">
        <v>66</v>
      </c>
      <c r="C54" s="17" t="s">
        <v>67</v>
      </c>
      <c r="D54" s="17" t="n">
        <v>0.5</v>
      </c>
      <c r="F54" s="10" t="n">
        <v>0</v>
      </c>
      <c r="G54" s="8" t="n">
        <f aca="false">D54*F54</f>
        <v>0</v>
      </c>
    </row>
    <row r="55" customFormat="false" ht="13.2" hidden="false" customHeight="false" outlineLevel="0" collapsed="false">
      <c r="B55" s="17" t="s">
        <v>68</v>
      </c>
      <c r="C55" s="17" t="s">
        <v>69</v>
      </c>
      <c r="D55" s="17" t="n">
        <v>1</v>
      </c>
      <c r="F55" s="10" t="n">
        <v>5</v>
      </c>
      <c r="G55" s="8" t="n">
        <f aca="false">D55*F55</f>
        <v>5</v>
      </c>
    </row>
    <row r="56" customFormat="false" ht="13.2" hidden="false" customHeight="false" outlineLevel="0" collapsed="false">
      <c r="B56" s="17" t="s">
        <v>70</v>
      </c>
      <c r="C56" s="17" t="s">
        <v>71</v>
      </c>
      <c r="D56" s="17" t="n">
        <v>2</v>
      </c>
      <c r="F56" s="10" t="n">
        <v>3</v>
      </c>
      <c r="G56" s="8" t="n">
        <f aca="false">D56*F56</f>
        <v>6</v>
      </c>
    </row>
    <row r="57" customFormat="false" ht="13.2" hidden="false" customHeight="false" outlineLevel="0" collapsed="false">
      <c r="B57" s="17" t="s">
        <v>72</v>
      </c>
      <c r="C57" s="17" t="s">
        <v>73</v>
      </c>
      <c r="D57" s="17" t="n">
        <v>-1</v>
      </c>
      <c r="F57" s="10" t="n">
        <v>5</v>
      </c>
      <c r="G57" s="8" t="n">
        <f aca="false">D57*F57</f>
        <v>-5</v>
      </c>
    </row>
    <row r="58" customFormat="false" ht="13.2" hidden="false" customHeight="false" outlineLevel="0" collapsed="false">
      <c r="B58" s="17" t="s">
        <v>74</v>
      </c>
      <c r="C58" s="17" t="s">
        <v>75</v>
      </c>
      <c r="D58" s="17" t="n">
        <v>-1.5</v>
      </c>
      <c r="F58" s="10" t="n">
        <v>3</v>
      </c>
      <c r="G58" s="8" t="n">
        <f aca="false">D58*F58</f>
        <v>-4.5</v>
      </c>
    </row>
    <row r="59" customFormat="false" ht="13.2" hidden="false" customHeight="false" outlineLevel="0" collapsed="false">
      <c r="F59" s="16" t="s">
        <v>76</v>
      </c>
      <c r="G59" s="18" t="n">
        <f aca="false">SUM(G46:G58)</f>
        <v>6</v>
      </c>
    </row>
    <row r="61" customFormat="false" ht="13.2" hidden="false" customHeight="false" outlineLevel="0" collapsed="false">
      <c r="F61" s="21" t="s">
        <v>77</v>
      </c>
      <c r="G61" s="17" t="n">
        <f aca="false">1.4+(-0.03 * G59)</f>
        <v>1.22</v>
      </c>
    </row>
    <row r="62" customFormat="false" ht="13.2" hidden="false" customHeight="false" outlineLevel="0" collapsed="false">
      <c r="F62" s="0" t="s">
        <v>78</v>
      </c>
    </row>
    <row r="63" customFormat="false" ht="13.2" hidden="false" customHeight="false" outlineLevel="0" collapsed="false">
      <c r="F63" s="21" t="s">
        <v>79</v>
      </c>
      <c r="G63" s="17" t="n">
        <f aca="false">COUNTIF(F51:F56,"&lt;3")</f>
        <v>2</v>
      </c>
    </row>
    <row r="64" customFormat="false" ht="13.2" hidden="false" customHeight="false" outlineLevel="0" collapsed="false">
      <c r="A64" s="2" t="s">
        <v>80</v>
      </c>
      <c r="B64" s="2"/>
      <c r="F64" s="21" t="s">
        <v>81</v>
      </c>
      <c r="G64" s="17" t="n">
        <f aca="false">COUNTIF(F57:F58,"&gt;3")</f>
        <v>1</v>
      </c>
    </row>
    <row r="65" customFormat="false" ht="13.2" hidden="false" customHeight="false" outlineLevel="0" collapsed="false">
      <c r="F65" s="21" t="s">
        <v>82</v>
      </c>
      <c r="G65" s="17" t="n">
        <f aca="false">SUM(G63:G64)</f>
        <v>3</v>
      </c>
    </row>
    <row r="66" customFormat="false" ht="13.2" hidden="false" customHeight="false" outlineLevel="0" collapsed="false">
      <c r="B66" s="16" t="s">
        <v>83</v>
      </c>
      <c r="C66" s="23" t="s">
        <v>84</v>
      </c>
      <c r="E66" s="24" t="n">
        <f aca="false">G61 *G45 *G24</f>
        <v>262.8795</v>
      </c>
    </row>
    <row r="68" customFormat="false" ht="13.2" hidden="false" customHeight="false" outlineLevel="0" collapsed="false">
      <c r="B68" s="25" t="s">
        <v>85</v>
      </c>
      <c r="C68" s="16"/>
      <c r="E68" s="26" t="n">
        <v>28</v>
      </c>
      <c r="F68" s="0" t="s">
        <v>86</v>
      </c>
      <c r="G68" s="27"/>
      <c r="H68" s="0" t="s">
        <v>87</v>
      </c>
      <c r="I68" s="0" t="n">
        <f aca="false">IF(G65&lt;=2,20,IF(G65&lt;=4,28,"Risco Elevado"))</f>
        <v>28</v>
      </c>
    </row>
    <row r="70" customFormat="false" ht="13.2" hidden="false" customHeight="false" outlineLevel="0" collapsed="false">
      <c r="B70" s="25" t="s">
        <v>88</v>
      </c>
      <c r="C70" s="23"/>
      <c r="E70" s="24" t="n">
        <f aca="false">E66 *E68</f>
        <v>7360.626</v>
      </c>
    </row>
    <row r="72" customFormat="false" ht="13.2" hidden="false" customHeight="false" outlineLevel="0" collapsed="false">
      <c r="B72" s="25" t="s">
        <v>89</v>
      </c>
      <c r="C72" s="23"/>
      <c r="E72" s="17" t="n">
        <v>4</v>
      </c>
      <c r="F72" s="0" t="s">
        <v>90</v>
      </c>
    </row>
    <row r="74" customFormat="false" ht="13.2" hidden="false" customHeight="false" outlineLevel="0" collapsed="false">
      <c r="B74" s="25" t="s">
        <v>91</v>
      </c>
      <c r="C74" s="23"/>
      <c r="E74" s="24" t="n">
        <f aca="false">IF(E72 &lt;&gt; 0, E70/E72, 0)</f>
        <v>1840.1565</v>
      </c>
      <c r="F74" s="0" t="s">
        <v>92</v>
      </c>
    </row>
    <row r="76" customFormat="false" ht="13.2" hidden="false" customHeight="false" outlineLevel="0" collapsed="false">
      <c r="B76" s="25" t="s">
        <v>93</v>
      </c>
      <c r="C76" s="23"/>
      <c r="E76" s="24" t="n">
        <f aca="false">E74/160</f>
        <v>11.500978125</v>
      </c>
      <c r="F76" s="0" t="s">
        <v>94</v>
      </c>
    </row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2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2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LibreOffice/5.2.7.2$Linux_X86_64 LibreOffice_project/20m0$Build-2</Application>
  <Company>CNPq/PNUD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1999-12-06T12:24:29Z</dcterms:created>
  <dc:creator>cesar</dc:creator>
  <dc:description/>
  <dc:language>pt-BR</dc:language>
  <cp:lastModifiedBy/>
  <dcterms:modified xsi:type="dcterms:W3CDTF">2019-04-04T21:54:16Z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CNPq/PNUD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